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B Re-entry Systems\git\public\AE4870B-Re-entry-Systems\CoursePlanningTemplate\"/>
    </mc:Choice>
  </mc:AlternateContent>
  <xr:revisionPtr revIDLastSave="0" documentId="13_ncr:1_{CCA15621-832D-4D01-9EA0-746B7DB7070A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J17" i="3" l="1"/>
  <c r="J16" i="3"/>
  <c r="J15" i="3"/>
  <c r="J14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5AE965E0-DF1E-4686-9195-9DA311A7159C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618D94A0-0A89-4128-9FD3-36A154A50EF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42861C01-8283-419C-97ED-806F037672E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6CD9A2CF-44B3-42B4-A5EE-9AE633FB4962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<sst xmlns="http://schemas.openxmlformats.org/spreadsheetml/2006/main" count="324" uniqueCount="103">
  <si>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</si>
  <si>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</si>
  <si>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</si>
  <si>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</si>
  <si>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</si>
  <si>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</si>
  <si>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</si>
  <si>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</si>
  <si>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</si>
  <si>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</si>
  <si>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</si>
  <si>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</si>
  <si>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</si>
  <si>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</si>
  <si>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</si>
  <si>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</si>
  <si>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</si>
  <si>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</si>
  <si>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</si>
  <si>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</si>
  <si>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</si>
  <si>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</si>
  <si>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</si>
  <si>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</si>
  <si>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</si>
  <si>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</si>
  <si>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</si>
  <si>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</si>
  <si>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Course name</t>
  </si>
  <si>
    <t>Taskwarrior project code:</t>
  </si>
  <si>
    <t>Course code</t>
  </si>
  <si>
    <t>2011-06-21</t>
  </si>
  <si>
    <t>2011-08-26</t>
  </si>
  <si>
    <t>2013-02-01</t>
  </si>
  <si>
    <t>2014-01-22</t>
  </si>
  <si>
    <t>2015-01-23</t>
  </si>
  <si>
    <t>2015-11-03</t>
  </si>
  <si>
    <t>2016-11-08</t>
  </si>
  <si>
    <t xml:space="preserve">2019-09-03  </t>
  </si>
  <si>
    <t xml:space="preserve">2019-09-04  </t>
  </si>
  <si>
    <t xml:space="preserve">2019-09-09  </t>
  </si>
  <si>
    <t xml:space="preserve">2019-09-11  </t>
  </si>
  <si>
    <t xml:space="preserve">2019-09-16  </t>
  </si>
  <si>
    <t>Introduction</t>
  </si>
  <si>
    <t>Entry Environment</t>
  </si>
  <si>
    <t>Aerodynamics</t>
  </si>
  <si>
    <t>Aeroheating</t>
  </si>
  <si>
    <t>Fundamentals of Motion</t>
  </si>
  <si>
    <t>Ballistic Entry</t>
  </si>
  <si>
    <t>Flight dyn cone transform C_BT</t>
  </si>
  <si>
    <t>Flight dyn cone+sphere linearize</t>
  </si>
  <si>
    <t>Gliding re-entry</t>
  </si>
  <si>
    <t>Skipping re-entry</t>
  </si>
  <si>
    <t>2012-04-19</t>
  </si>
  <si>
    <t>2012-02-22</t>
  </si>
  <si>
    <t>true false coriolis parashute</t>
  </si>
  <si>
    <t>Draw EOM gliding trajectory heat eq</t>
  </si>
  <si>
    <t>Parashute mars</t>
  </si>
  <si>
    <t>Heat flux</t>
  </si>
  <si>
    <t>2012-01-27</t>
  </si>
  <si>
    <t>Draw EOM Ballistic trajectory</t>
  </si>
  <si>
    <t>Parachutes</t>
  </si>
  <si>
    <t>TPS heatflux</t>
  </si>
  <si>
    <t>2d EOM gliding trajectory</t>
  </si>
  <si>
    <t>Parashutes</t>
  </si>
  <si>
    <t>2d eom Ballistic trajectory</t>
  </si>
  <si>
    <t>Max heat vs max g relation derive</t>
  </si>
  <si>
    <t>Precision landing derive scalar translations eom accel</t>
  </si>
  <si>
    <t>Hazard detection avoidance system explain</t>
  </si>
  <si>
    <t>Ballistic entry Flight path Mars</t>
  </si>
  <si>
    <t>E-guidance derive quartic law</t>
  </si>
  <si>
    <t>GNC HDA TRN describe max roughness vehicle</t>
  </si>
  <si>
    <t>Hypersonic flow Surface integrals</t>
  </si>
  <si>
    <t>Set up eom re-entry</t>
  </si>
  <si>
    <t>dV wrt flight path angle gamma</t>
  </si>
  <si>
    <t>Derive eq lowest point skipping reentry</t>
  </si>
  <si>
    <t>sample q</t>
  </si>
  <si>
    <t>2019-11-06T09:00</t>
  </si>
  <si>
    <t>uni.reentry</t>
  </si>
  <si>
    <t>Flight dyn sphere linearize. eigenvalue</t>
  </si>
  <si>
    <t>Gliding Rentry of Huygens in Titan vs mars. 2d eom</t>
  </si>
  <si>
    <t>Dynamic equations. performance curve</t>
  </si>
  <si>
    <t>derive hydrostaic eq. step response. parashute</t>
  </si>
  <si>
    <t>Balistic entry. eom. flight path. max decel</t>
  </si>
  <si>
    <t>Hypersonic flow. GNC. step func. entry mechan skip flight</t>
  </si>
  <si>
    <t>Radiation equilibrium laminar boundry. hydrostat</t>
  </si>
  <si>
    <t>AE4870B</t>
  </si>
  <si>
    <t>Re-Entry Systems</t>
  </si>
  <si>
    <t>Allocated to:</t>
  </si>
  <si>
    <t>A</t>
  </si>
  <si>
    <t>B</t>
  </si>
  <si>
    <t>C</t>
  </si>
  <si>
    <t>E</t>
  </si>
  <si>
    <t>Sol. In drive</t>
  </si>
  <si>
    <t>no</t>
  </si>
  <si>
    <t>yes</t>
  </si>
  <si>
    <t>No</t>
  </si>
  <si>
    <t>Yes</t>
  </si>
  <si>
    <t>F</t>
  </si>
  <si>
    <t>D(2)</t>
  </si>
  <si>
    <t>Comments:</t>
  </si>
  <si>
    <t>lang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</si>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</sst>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9</xdr:row>
          <xdr:rowOff>152400</xdr:rowOff>
        </xdr:from>
        <xdr:to>
          <xdr:col>1</xdr:col>
          <xdr:colOff>733425</xdr:colOff>
          <xdr:row>15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templates for the exam solutions.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28</v>
      </c>
      <c r="B1" t="s">
        <v>30</v>
      </c>
      <c r="C1" t="s">
        <v>29</v>
      </c>
    </row>
    <row r="2" spans="1:3" x14ac:dyDescent="0.25">
      <c r="A2" t="s">
        <v>87</v>
      </c>
      <c r="B2" t="s">
        <v>86</v>
      </c>
      <c r="C2" t="s">
        <v>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342900</xdr:colOff>
                    <xdr:row>9</xdr:row>
                    <xdr:rowOff>152400</xdr:rowOff>
                  </from>
                  <to>
                    <xdr:col>1</xdr:col>
                    <xdr:colOff>733425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7"/>
  <sheetViews>
    <sheetView workbookViewId="0">
      <selection activeCell="C12" sqref="C12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43</v>
      </c>
      <c r="D2">
        <v>1</v>
      </c>
      <c r="E2" s="2" t="s">
        <v>38</v>
      </c>
    </row>
    <row r="3" spans="1:5" x14ac:dyDescent="0.25">
      <c r="A3">
        <v>1</v>
      </c>
      <c r="B3">
        <v>2</v>
      </c>
      <c r="C3" t="s">
        <v>44</v>
      </c>
      <c r="D3">
        <v>2</v>
      </c>
      <c r="E3" s="2" t="s">
        <v>39</v>
      </c>
    </row>
    <row r="4" spans="1:5" x14ac:dyDescent="0.25">
      <c r="A4">
        <v>1</v>
      </c>
      <c r="B4">
        <v>3</v>
      </c>
      <c r="C4" t="s">
        <v>45</v>
      </c>
      <c r="D4">
        <v>3</v>
      </c>
      <c r="E4" s="2" t="s">
        <v>40</v>
      </c>
    </row>
    <row r="5" spans="1:5" x14ac:dyDescent="0.25">
      <c r="A5">
        <v>1</v>
      </c>
      <c r="B5">
        <v>4</v>
      </c>
      <c r="C5" t="s">
        <v>46</v>
      </c>
      <c r="D5">
        <v>4</v>
      </c>
      <c r="E5" s="2" t="s">
        <v>41</v>
      </c>
    </row>
    <row r="6" spans="1:5" x14ac:dyDescent="0.25">
      <c r="A6">
        <v>1</v>
      </c>
      <c r="B6">
        <v>5</v>
      </c>
      <c r="C6" t="s">
        <v>47</v>
      </c>
      <c r="D6">
        <v>5</v>
      </c>
      <c r="E6" s="2" t="s">
        <v>41</v>
      </c>
    </row>
    <row r="7" spans="1:5" x14ac:dyDescent="0.25">
      <c r="A7">
        <v>1</v>
      </c>
      <c r="B7">
        <v>6</v>
      </c>
      <c r="C7" t="s">
        <v>48</v>
      </c>
      <c r="D7">
        <v>6</v>
      </c>
      <c r="E7" s="2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</sheetData>
  <autoFilter ref="A1:I3" xr:uid="{D9CDBE0D-FE5D-4808-9E97-F2524B69350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workbookViewId="0">
      <selection activeCell="K16" sqref="K16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4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4" t="s">
        <v>88</v>
      </c>
      <c r="L1" s="4" t="s">
        <v>93</v>
      </c>
      <c r="M1" s="5" t="str">
        <f>CONCATENATE("Max ID:",LOOKUP(2,1/(COUNTIF(K2:K1000,"&gt;"&amp;K2:K1000&amp;"*")=0),K2:K1000))</f>
        <v>Max ID:H</v>
      </c>
      <c r="N1" t="s">
        <v>100</v>
      </c>
      <c r="O1" t="s">
        <v>101</v>
      </c>
    </row>
    <row r="2" spans="1:15" x14ac:dyDescent="0.25">
      <c r="A2" t="s">
        <v>23</v>
      </c>
      <c r="B2" t="s">
        <v>24</v>
      </c>
      <c r="C2">
        <v>1</v>
      </c>
      <c r="D2" s="2" t="s">
        <v>31</v>
      </c>
      <c r="E2">
        <v>4</v>
      </c>
      <c r="F2">
        <v>1</v>
      </c>
      <c r="G2">
        <v>25</v>
      </c>
      <c r="H2" t="s">
        <v>49</v>
      </c>
      <c r="I2" t="s">
        <v>47</v>
      </c>
      <c r="J2" s="1" t="str">
        <f>VLOOKUP(I2,Lectures!C$1:E1000,3,FALSE)</f>
        <v xml:space="preserve">2019-09-11  </v>
      </c>
      <c r="K2" t="s">
        <v>89</v>
      </c>
      <c r="L2" t="s">
        <v>94</v>
      </c>
    </row>
    <row r="3" spans="1:15" x14ac:dyDescent="0.25">
      <c r="A3" t="s">
        <v>24</v>
      </c>
      <c r="B3" t="s">
        <v>24</v>
      </c>
      <c r="C3">
        <v>1</v>
      </c>
      <c r="D3" s="2" t="s">
        <v>31</v>
      </c>
      <c r="E3">
        <v>4</v>
      </c>
      <c r="F3">
        <v>2</v>
      </c>
      <c r="G3">
        <v>15</v>
      </c>
      <c r="H3" t="s">
        <v>79</v>
      </c>
      <c r="I3" t="s">
        <v>47</v>
      </c>
      <c r="J3" s="1" t="str">
        <f>VLOOKUP(I3,Lectures!C$1:E1001,3,FALSE)</f>
        <v xml:space="preserve">2019-09-11  </v>
      </c>
      <c r="K3" t="s">
        <v>89</v>
      </c>
      <c r="L3" t="s">
        <v>94</v>
      </c>
    </row>
    <row r="4" spans="1:15" x14ac:dyDescent="0.25">
      <c r="A4" t="s">
        <v>25</v>
      </c>
      <c r="B4" t="s">
        <v>24</v>
      </c>
      <c r="C4">
        <v>1</v>
      </c>
      <c r="D4" s="2" t="s">
        <v>31</v>
      </c>
      <c r="E4">
        <v>4</v>
      </c>
      <c r="F4">
        <v>3</v>
      </c>
      <c r="G4">
        <v>40</v>
      </c>
      <c r="H4" t="s">
        <v>80</v>
      </c>
      <c r="I4" t="s">
        <v>48</v>
      </c>
      <c r="J4" s="1" t="str">
        <f>VLOOKUP(I4,Lectures!C$1:E1002,3,FALSE)</f>
        <v xml:space="preserve">2019-09-16  </v>
      </c>
      <c r="K4" t="s">
        <v>89</v>
      </c>
      <c r="L4" t="s">
        <v>94</v>
      </c>
    </row>
    <row r="5" spans="1:15" x14ac:dyDescent="0.25">
      <c r="A5" t="s">
        <v>26</v>
      </c>
      <c r="B5" t="s">
        <v>24</v>
      </c>
      <c r="C5">
        <v>1</v>
      </c>
      <c r="D5" s="2" t="s">
        <v>31</v>
      </c>
      <c r="E5">
        <v>4</v>
      </c>
      <c r="F5">
        <v>4</v>
      </c>
      <c r="G5">
        <v>20</v>
      </c>
      <c r="H5" t="s">
        <v>81</v>
      </c>
      <c r="I5" t="s">
        <v>43</v>
      </c>
      <c r="J5" s="1" t="str">
        <f>VLOOKUP(I5,Lectures!C$1:E1003,3,FALSE)</f>
        <v xml:space="preserve">2019-09-03  </v>
      </c>
      <c r="K5" t="s">
        <v>89</v>
      </c>
      <c r="L5" t="s">
        <v>94</v>
      </c>
    </row>
    <row r="6" spans="1:15" x14ac:dyDescent="0.25">
      <c r="B6" t="s">
        <v>24</v>
      </c>
      <c r="C6">
        <v>2</v>
      </c>
      <c r="D6" s="2" t="s">
        <v>32</v>
      </c>
      <c r="E6">
        <v>4</v>
      </c>
      <c r="F6">
        <v>1</v>
      </c>
      <c r="G6">
        <v>25</v>
      </c>
      <c r="H6" t="s">
        <v>49</v>
      </c>
      <c r="I6" t="s">
        <v>43</v>
      </c>
      <c r="J6" s="1" t="str">
        <f>VLOOKUP(I6,Lectures!C$1:E1004,3,FALSE)</f>
        <v xml:space="preserve">2019-09-03  </v>
      </c>
      <c r="K6" t="s">
        <v>90</v>
      </c>
      <c r="L6" t="s">
        <v>94</v>
      </c>
    </row>
    <row r="7" spans="1:15" x14ac:dyDescent="0.25">
      <c r="B7" t="s">
        <v>24</v>
      </c>
      <c r="C7">
        <v>2</v>
      </c>
      <c r="D7" s="2" t="s">
        <v>32</v>
      </c>
      <c r="E7">
        <v>4</v>
      </c>
      <c r="F7">
        <v>2</v>
      </c>
      <c r="G7">
        <v>20</v>
      </c>
      <c r="H7" t="s">
        <v>50</v>
      </c>
      <c r="I7" t="s">
        <v>44</v>
      </c>
      <c r="J7" s="1" t="str">
        <f>VLOOKUP(I7,Lectures!C$1:E1005,3,FALSE)</f>
        <v xml:space="preserve">2019-09-04  </v>
      </c>
      <c r="K7" t="s">
        <v>90</v>
      </c>
      <c r="L7" t="s">
        <v>94</v>
      </c>
    </row>
    <row r="8" spans="1:15" x14ac:dyDescent="0.25">
      <c r="B8" t="s">
        <v>24</v>
      </c>
      <c r="C8">
        <v>2</v>
      </c>
      <c r="D8" s="2" t="s">
        <v>32</v>
      </c>
      <c r="E8">
        <v>4</v>
      </c>
      <c r="F8">
        <v>3</v>
      </c>
      <c r="G8">
        <v>30</v>
      </c>
      <c r="H8" t="s">
        <v>51</v>
      </c>
      <c r="I8" t="s">
        <v>45</v>
      </c>
      <c r="J8" s="1" t="str">
        <f>VLOOKUP(I8,Lectures!C$1:E1006,3,FALSE)</f>
        <v xml:space="preserve">2019-09-09  </v>
      </c>
      <c r="K8" t="s">
        <v>90</v>
      </c>
      <c r="L8" t="s">
        <v>94</v>
      </c>
    </row>
    <row r="9" spans="1:15" x14ac:dyDescent="0.25">
      <c r="B9" t="s">
        <v>24</v>
      </c>
      <c r="C9">
        <v>2</v>
      </c>
      <c r="D9" s="2" t="s">
        <v>32</v>
      </c>
      <c r="E9">
        <v>4</v>
      </c>
      <c r="F9">
        <v>4</v>
      </c>
      <c r="G9">
        <v>25</v>
      </c>
      <c r="H9" t="s">
        <v>52</v>
      </c>
      <c r="I9" t="s">
        <v>48</v>
      </c>
      <c r="J9" s="1" t="str">
        <f>VLOOKUP(I9,Lectures!C$1:E1007,3,FALSE)</f>
        <v xml:space="preserve">2019-09-16  </v>
      </c>
      <c r="K9" t="s">
        <v>90</v>
      </c>
      <c r="L9" t="s">
        <v>94</v>
      </c>
    </row>
    <row r="10" spans="1:15" x14ac:dyDescent="0.25">
      <c r="B10" t="s">
        <v>24</v>
      </c>
      <c r="C10">
        <v>3</v>
      </c>
      <c r="D10" s="2" t="s">
        <v>53</v>
      </c>
      <c r="E10">
        <v>4</v>
      </c>
      <c r="F10">
        <v>1</v>
      </c>
      <c r="G10">
        <v>20</v>
      </c>
      <c r="H10" t="s">
        <v>55</v>
      </c>
      <c r="I10" t="s">
        <v>43</v>
      </c>
      <c r="J10" s="1" t="str">
        <f>VLOOKUP(I10,Lectures!C$1:E1008,3,FALSE)</f>
        <v xml:space="preserve">2019-09-03  </v>
      </c>
      <c r="K10" t="s">
        <v>91</v>
      </c>
      <c r="L10" t="s">
        <v>96</v>
      </c>
    </row>
    <row r="11" spans="1:15" x14ac:dyDescent="0.25">
      <c r="B11" t="s">
        <v>24</v>
      </c>
      <c r="C11">
        <v>3</v>
      </c>
      <c r="D11" s="2" t="s">
        <v>53</v>
      </c>
      <c r="E11">
        <v>4</v>
      </c>
      <c r="F11">
        <v>2</v>
      </c>
      <c r="G11">
        <v>30</v>
      </c>
      <c r="H11" t="s">
        <v>56</v>
      </c>
      <c r="I11" t="s">
        <v>46</v>
      </c>
      <c r="J11" s="1" t="str">
        <f>VLOOKUP(I11,Lectures!C$1:E1009,3,FALSE)</f>
        <v xml:space="preserve">2019-09-11  </v>
      </c>
      <c r="K11" t="s">
        <v>91</v>
      </c>
      <c r="L11" t="s">
        <v>96</v>
      </c>
    </row>
    <row r="12" spans="1:15" x14ac:dyDescent="0.25">
      <c r="B12" t="s">
        <v>24</v>
      </c>
      <c r="C12">
        <v>3</v>
      </c>
      <c r="D12" s="2" t="s">
        <v>53</v>
      </c>
      <c r="E12">
        <v>4</v>
      </c>
      <c r="F12">
        <v>3</v>
      </c>
      <c r="G12">
        <v>20</v>
      </c>
      <c r="H12" t="s">
        <v>57</v>
      </c>
      <c r="I12" t="s">
        <v>44</v>
      </c>
      <c r="J12" s="1" t="str">
        <f>VLOOKUP(I12,Lectures!C$1:E1010,3,FALSE)</f>
        <v xml:space="preserve">2019-09-04  </v>
      </c>
      <c r="K12" t="s">
        <v>91</v>
      </c>
      <c r="L12" t="s">
        <v>96</v>
      </c>
    </row>
    <row r="13" spans="1:15" x14ac:dyDescent="0.25">
      <c r="B13" t="s">
        <v>24</v>
      </c>
      <c r="C13">
        <v>3</v>
      </c>
      <c r="D13" s="2" t="s">
        <v>53</v>
      </c>
      <c r="E13">
        <v>4</v>
      </c>
      <c r="F13">
        <v>4</v>
      </c>
      <c r="G13">
        <v>30</v>
      </c>
      <c r="H13" t="s">
        <v>58</v>
      </c>
      <c r="I13" t="s">
        <v>46</v>
      </c>
      <c r="J13" s="1" t="str">
        <f>VLOOKUP(I13,Lectures!C$1:E1011,3,FALSE)</f>
        <v xml:space="preserve">2019-09-11  </v>
      </c>
      <c r="K13" t="s">
        <v>91</v>
      </c>
      <c r="L13" t="s">
        <v>96</v>
      </c>
    </row>
    <row r="14" spans="1:15" x14ac:dyDescent="0.25">
      <c r="B14" t="s">
        <v>24</v>
      </c>
      <c r="C14">
        <v>4</v>
      </c>
      <c r="D14" s="2" t="s">
        <v>54</v>
      </c>
      <c r="E14">
        <v>4</v>
      </c>
      <c r="F14">
        <v>1</v>
      </c>
      <c r="G14">
        <v>20</v>
      </c>
      <c r="H14" t="s">
        <v>55</v>
      </c>
      <c r="I14" t="s">
        <v>43</v>
      </c>
      <c r="J14" s="1" t="str">
        <f>VLOOKUP(I14,Lectures!C$1:E1012,3,FALSE)</f>
        <v xml:space="preserve">2019-09-03  </v>
      </c>
      <c r="L14" t="s">
        <v>97</v>
      </c>
    </row>
    <row r="15" spans="1:15" x14ac:dyDescent="0.25">
      <c r="B15" t="s">
        <v>24</v>
      </c>
      <c r="C15">
        <v>4</v>
      </c>
      <c r="D15" s="2" t="s">
        <v>54</v>
      </c>
      <c r="E15">
        <v>4</v>
      </c>
      <c r="F15">
        <v>2</v>
      </c>
      <c r="G15">
        <v>30</v>
      </c>
      <c r="H15" t="s">
        <v>56</v>
      </c>
      <c r="I15" t="s">
        <v>46</v>
      </c>
      <c r="J15" s="1" t="str">
        <f>VLOOKUP(I15,Lectures!C$1:E1013,3,FALSE)</f>
        <v xml:space="preserve">2019-09-11  </v>
      </c>
      <c r="L15" t="s">
        <v>95</v>
      </c>
    </row>
    <row r="16" spans="1:15" x14ac:dyDescent="0.25">
      <c r="B16" t="s">
        <v>24</v>
      </c>
      <c r="C16">
        <v>4</v>
      </c>
      <c r="D16" s="2" t="s">
        <v>54</v>
      </c>
      <c r="E16">
        <v>4</v>
      </c>
      <c r="F16">
        <v>3</v>
      </c>
      <c r="G16">
        <v>20</v>
      </c>
      <c r="H16" t="s">
        <v>57</v>
      </c>
      <c r="I16" t="s">
        <v>44</v>
      </c>
      <c r="J16" s="1" t="str">
        <f>VLOOKUP(I16,Lectures!C$1:E1014,3,FALSE)</f>
        <v xml:space="preserve">2019-09-04  </v>
      </c>
      <c r="L16" t="s">
        <v>95</v>
      </c>
    </row>
    <row r="17" spans="2:12" x14ac:dyDescent="0.25">
      <c r="B17" t="s">
        <v>24</v>
      </c>
      <c r="C17">
        <v>4</v>
      </c>
      <c r="D17" s="2" t="s">
        <v>54</v>
      </c>
      <c r="E17">
        <v>4</v>
      </c>
      <c r="F17">
        <v>4</v>
      </c>
      <c r="G17">
        <v>30</v>
      </c>
      <c r="H17" t="s">
        <v>58</v>
      </c>
      <c r="I17" t="s">
        <v>46</v>
      </c>
      <c r="J17" s="1" t="str">
        <f>VLOOKUP(I17,Lectures!C$1:E1015,3,FALSE)</f>
        <v xml:space="preserve">2019-09-11  </v>
      </c>
      <c r="L17" t="s">
        <v>95</v>
      </c>
    </row>
    <row r="18" spans="2:12" x14ac:dyDescent="0.25">
      <c r="B18" t="s">
        <v>24</v>
      </c>
      <c r="C18">
        <v>5</v>
      </c>
      <c r="D18" s="2" t="s">
        <v>59</v>
      </c>
      <c r="E18">
        <v>4</v>
      </c>
      <c r="F18">
        <v>1</v>
      </c>
      <c r="G18">
        <v>20</v>
      </c>
      <c r="H18" t="s">
        <v>55</v>
      </c>
      <c r="I18" t="s">
        <v>43</v>
      </c>
      <c r="J18" s="1" t="str">
        <f>VLOOKUP(I18,Lectures!C$1:E1016,3,FALSE)</f>
        <v xml:space="preserve">2019-09-03  </v>
      </c>
      <c r="L18" t="s">
        <v>95</v>
      </c>
    </row>
    <row r="19" spans="2:12" x14ac:dyDescent="0.25">
      <c r="B19" t="s">
        <v>24</v>
      </c>
      <c r="C19">
        <v>5</v>
      </c>
      <c r="D19" s="2" t="s">
        <v>59</v>
      </c>
      <c r="E19">
        <v>4</v>
      </c>
      <c r="F19">
        <v>2</v>
      </c>
      <c r="G19">
        <v>30</v>
      </c>
      <c r="H19" t="s">
        <v>60</v>
      </c>
      <c r="I19" t="s">
        <v>48</v>
      </c>
      <c r="J19" s="1" t="str">
        <f>VLOOKUP(I19,Lectures!C$1:E1017,3,FALSE)</f>
        <v xml:space="preserve">2019-09-16  </v>
      </c>
      <c r="L19" t="s">
        <v>95</v>
      </c>
    </row>
    <row r="20" spans="2:12" x14ac:dyDescent="0.25">
      <c r="B20" t="s">
        <v>24</v>
      </c>
      <c r="C20">
        <v>5</v>
      </c>
      <c r="D20" s="2" t="s">
        <v>59</v>
      </c>
      <c r="E20">
        <v>4</v>
      </c>
      <c r="F20">
        <v>3</v>
      </c>
      <c r="G20">
        <v>20</v>
      </c>
      <c r="H20" t="s">
        <v>61</v>
      </c>
      <c r="I20" t="s">
        <v>44</v>
      </c>
      <c r="J20" s="1" t="str">
        <f>VLOOKUP(I20,Lectures!C$1:E1018,3,FALSE)</f>
        <v xml:space="preserve">2019-09-04  </v>
      </c>
      <c r="L20" t="s">
        <v>95</v>
      </c>
    </row>
    <row r="21" spans="2:12" x14ac:dyDescent="0.25">
      <c r="B21" t="s">
        <v>24</v>
      </c>
      <c r="C21">
        <v>5</v>
      </c>
      <c r="D21" s="2" t="s">
        <v>59</v>
      </c>
      <c r="E21">
        <v>4</v>
      </c>
      <c r="F21">
        <v>4</v>
      </c>
      <c r="G21">
        <v>30</v>
      </c>
      <c r="H21" t="s">
        <v>62</v>
      </c>
      <c r="I21" t="s">
        <v>46</v>
      </c>
      <c r="J21" s="1" t="str">
        <f>VLOOKUP(I21,Lectures!C$1:E1019,3,FALSE)</f>
        <v xml:space="preserve">2019-09-11  </v>
      </c>
      <c r="L21" t="s">
        <v>95</v>
      </c>
    </row>
    <row r="22" spans="2:12" x14ac:dyDescent="0.25">
      <c r="B22" t="s">
        <v>24</v>
      </c>
      <c r="C22">
        <v>6</v>
      </c>
      <c r="D22" s="2" t="s">
        <v>33</v>
      </c>
      <c r="E22">
        <v>4</v>
      </c>
      <c r="F22">
        <v>1</v>
      </c>
      <c r="G22">
        <v>20</v>
      </c>
      <c r="H22" t="s">
        <v>55</v>
      </c>
      <c r="I22" t="s">
        <v>43</v>
      </c>
      <c r="J22" s="1" t="str">
        <f>VLOOKUP(I22,Lectures!C$1:E1020,3,FALSE)</f>
        <v xml:space="preserve">2019-09-03  </v>
      </c>
      <c r="L22" t="s">
        <v>96</v>
      </c>
    </row>
    <row r="23" spans="2:12" x14ac:dyDescent="0.25">
      <c r="B23" t="s">
        <v>24</v>
      </c>
      <c r="C23">
        <v>6</v>
      </c>
      <c r="D23" s="2" t="s">
        <v>33</v>
      </c>
      <c r="E23">
        <v>4</v>
      </c>
      <c r="F23">
        <v>2</v>
      </c>
      <c r="G23">
        <v>20</v>
      </c>
      <c r="H23" t="s">
        <v>81</v>
      </c>
      <c r="I23" t="s">
        <v>47</v>
      </c>
      <c r="J23" s="1" t="str">
        <f>VLOOKUP(I23,Lectures!C$1:E1021,3,FALSE)</f>
        <v xml:space="preserve">2019-09-11  </v>
      </c>
      <c r="L23" t="s">
        <v>96</v>
      </c>
    </row>
    <row r="24" spans="2:12" x14ac:dyDescent="0.25">
      <c r="B24" t="s">
        <v>24</v>
      </c>
      <c r="C24">
        <v>6</v>
      </c>
      <c r="D24" s="2" t="s">
        <v>33</v>
      </c>
      <c r="E24">
        <v>4</v>
      </c>
      <c r="F24">
        <v>3</v>
      </c>
      <c r="G24">
        <v>30</v>
      </c>
      <c r="H24" t="s">
        <v>63</v>
      </c>
      <c r="I24" t="s">
        <v>44</v>
      </c>
      <c r="J24" s="1" t="str">
        <f>VLOOKUP(I24,Lectures!C$1:E1022,3,FALSE)</f>
        <v xml:space="preserve">2019-09-04  </v>
      </c>
      <c r="L24" t="s">
        <v>96</v>
      </c>
    </row>
    <row r="25" spans="2:12" x14ac:dyDescent="0.25">
      <c r="B25" t="s">
        <v>24</v>
      </c>
      <c r="C25">
        <v>6</v>
      </c>
      <c r="D25" s="2" t="s">
        <v>33</v>
      </c>
      <c r="E25">
        <v>4</v>
      </c>
      <c r="F25">
        <v>4</v>
      </c>
      <c r="G25">
        <v>30</v>
      </c>
      <c r="H25" t="s">
        <v>64</v>
      </c>
      <c r="I25" t="s">
        <v>43</v>
      </c>
      <c r="J25" s="1" t="str">
        <f>VLOOKUP(I25,Lectures!C$1:E1023,3,FALSE)</f>
        <v xml:space="preserve">2019-09-03  </v>
      </c>
      <c r="L25" t="s">
        <v>96</v>
      </c>
    </row>
    <row r="26" spans="2:12" x14ac:dyDescent="0.25">
      <c r="B26" t="s">
        <v>24</v>
      </c>
      <c r="C26">
        <v>7</v>
      </c>
      <c r="D26" s="2" t="s">
        <v>34</v>
      </c>
      <c r="E26">
        <v>4</v>
      </c>
      <c r="F26">
        <v>1</v>
      </c>
      <c r="G26">
        <v>15</v>
      </c>
      <c r="H26" t="s">
        <v>55</v>
      </c>
      <c r="I26" t="s">
        <v>43</v>
      </c>
      <c r="J26" s="1" t="str">
        <f>VLOOKUP(I26,Lectures!C$1:E1024,3,FALSE)</f>
        <v xml:space="preserve">2019-09-03  </v>
      </c>
      <c r="K26" t="s">
        <v>98</v>
      </c>
      <c r="L26" t="s">
        <v>96</v>
      </c>
    </row>
    <row r="27" spans="2:12" x14ac:dyDescent="0.25">
      <c r="B27" t="s">
        <v>24</v>
      </c>
      <c r="C27">
        <v>7</v>
      </c>
      <c r="D27" s="2" t="s">
        <v>34</v>
      </c>
      <c r="E27">
        <v>4</v>
      </c>
      <c r="F27">
        <v>2</v>
      </c>
      <c r="G27">
        <v>35</v>
      </c>
      <c r="H27" t="s">
        <v>65</v>
      </c>
      <c r="I27" t="s">
        <v>48</v>
      </c>
      <c r="J27" s="1" t="str">
        <f>VLOOKUP(I27,Lectures!C$1:E1025,3,FALSE)</f>
        <v xml:space="preserve">2019-09-16  </v>
      </c>
      <c r="K27" t="s">
        <v>98</v>
      </c>
      <c r="L27" t="s">
        <v>96</v>
      </c>
    </row>
    <row r="28" spans="2:12" x14ac:dyDescent="0.25">
      <c r="B28" t="s">
        <v>24</v>
      </c>
      <c r="C28">
        <v>7</v>
      </c>
      <c r="D28" s="2" t="s">
        <v>34</v>
      </c>
      <c r="E28">
        <v>4</v>
      </c>
      <c r="F28">
        <v>3</v>
      </c>
      <c r="G28">
        <v>25</v>
      </c>
      <c r="H28" t="s">
        <v>66</v>
      </c>
      <c r="I28" t="s">
        <v>46</v>
      </c>
      <c r="J28" s="1" t="str">
        <f>VLOOKUP(I28,Lectures!C$1:E1026,3,FALSE)</f>
        <v xml:space="preserve">2019-09-11  </v>
      </c>
      <c r="K28" t="s">
        <v>98</v>
      </c>
      <c r="L28" t="s">
        <v>96</v>
      </c>
    </row>
    <row r="29" spans="2:12" x14ac:dyDescent="0.25">
      <c r="B29" t="s">
        <v>24</v>
      </c>
      <c r="C29">
        <v>7</v>
      </c>
      <c r="D29" s="2" t="s">
        <v>34</v>
      </c>
      <c r="E29">
        <v>4</v>
      </c>
      <c r="F29">
        <v>4</v>
      </c>
      <c r="G29">
        <v>25</v>
      </c>
      <c r="H29" t="s">
        <v>58</v>
      </c>
      <c r="I29" t="s">
        <v>46</v>
      </c>
      <c r="J29" s="1" t="str">
        <f>VLOOKUP(I29,Lectures!C$1:E1027,3,FALSE)</f>
        <v xml:space="preserve">2019-09-11  </v>
      </c>
      <c r="K29" t="s">
        <v>98</v>
      </c>
      <c r="L29" t="s">
        <v>96</v>
      </c>
    </row>
    <row r="30" spans="2:12" x14ac:dyDescent="0.25">
      <c r="B30" t="s">
        <v>24</v>
      </c>
      <c r="C30">
        <v>8</v>
      </c>
      <c r="D30" s="2" t="s">
        <v>35</v>
      </c>
      <c r="E30">
        <v>4</v>
      </c>
      <c r="F30">
        <v>1</v>
      </c>
      <c r="G30">
        <v>10</v>
      </c>
      <c r="H30" t="s">
        <v>55</v>
      </c>
      <c r="I30" t="s">
        <v>43</v>
      </c>
      <c r="J30" s="1" t="str">
        <f>VLOOKUP(I30,Lectures!C$1:E1028,3,FALSE)</f>
        <v xml:space="preserve">2019-09-03  </v>
      </c>
      <c r="K30" t="s">
        <v>102</v>
      </c>
      <c r="L30" t="s">
        <v>96</v>
      </c>
    </row>
    <row r="31" spans="2:12" x14ac:dyDescent="0.25">
      <c r="B31" t="s">
        <v>24</v>
      </c>
      <c r="C31">
        <v>8</v>
      </c>
      <c r="D31" s="2" t="s">
        <v>35</v>
      </c>
      <c r="E31">
        <v>4</v>
      </c>
      <c r="F31">
        <v>2</v>
      </c>
      <c r="G31">
        <v>30</v>
      </c>
      <c r="H31" t="s">
        <v>67</v>
      </c>
      <c r="I31" t="s">
        <v>47</v>
      </c>
      <c r="J31" s="1" t="str">
        <f>VLOOKUP(I31,Lectures!C$1:E1029,3,FALSE)</f>
        <v xml:space="preserve">2019-09-11  </v>
      </c>
      <c r="K31" t="s">
        <v>102</v>
      </c>
      <c r="L31" t="s">
        <v>96</v>
      </c>
    </row>
    <row r="32" spans="2:12" x14ac:dyDescent="0.25">
      <c r="B32" t="s">
        <v>24</v>
      </c>
      <c r="C32">
        <v>8</v>
      </c>
      <c r="D32" s="2" t="s">
        <v>35</v>
      </c>
      <c r="E32">
        <v>4</v>
      </c>
      <c r="F32">
        <v>3</v>
      </c>
      <c r="G32">
        <v>20</v>
      </c>
      <c r="H32" t="s">
        <v>82</v>
      </c>
      <c r="I32" t="s">
        <v>45</v>
      </c>
      <c r="J32" s="1" t="str">
        <f>VLOOKUP(I32,Lectures!C$1:E1030,3,FALSE)</f>
        <v xml:space="preserve">2019-09-09  </v>
      </c>
      <c r="K32" t="s">
        <v>102</v>
      </c>
      <c r="L32" t="s">
        <v>96</v>
      </c>
    </row>
    <row r="33" spans="2:12" x14ac:dyDescent="0.25">
      <c r="B33" t="s">
        <v>24</v>
      </c>
      <c r="C33">
        <v>8</v>
      </c>
      <c r="D33" s="2" t="s">
        <v>35</v>
      </c>
      <c r="E33">
        <v>4</v>
      </c>
      <c r="F33">
        <v>4</v>
      </c>
      <c r="G33">
        <v>40</v>
      </c>
      <c r="H33" t="s">
        <v>83</v>
      </c>
      <c r="I33" t="s">
        <v>48</v>
      </c>
      <c r="J33" s="1" t="str">
        <f>VLOOKUP(I33,Lectures!C$1:E1031,3,FALSE)</f>
        <v xml:space="preserve">2019-09-16  </v>
      </c>
      <c r="K33" t="s">
        <v>102</v>
      </c>
      <c r="L33" t="s">
        <v>96</v>
      </c>
    </row>
    <row r="34" spans="2:12" x14ac:dyDescent="0.25">
      <c r="B34" t="s">
        <v>24</v>
      </c>
      <c r="C34">
        <v>9</v>
      </c>
      <c r="D34" s="2" t="s">
        <v>36</v>
      </c>
      <c r="E34">
        <v>5</v>
      </c>
      <c r="F34">
        <v>1</v>
      </c>
      <c r="G34">
        <v>10</v>
      </c>
      <c r="H34" t="s">
        <v>55</v>
      </c>
      <c r="I34" t="s">
        <v>43</v>
      </c>
      <c r="J34" s="1" t="str">
        <f>VLOOKUP(I34,Lectures!C$1:E1032,3,FALSE)</f>
        <v xml:space="preserve">2019-09-03  </v>
      </c>
      <c r="K34" t="s">
        <v>99</v>
      </c>
      <c r="L34" t="s">
        <v>96</v>
      </c>
    </row>
    <row r="35" spans="2:12" x14ac:dyDescent="0.25">
      <c r="B35" t="s">
        <v>24</v>
      </c>
      <c r="C35">
        <v>9</v>
      </c>
      <c r="D35" s="2" t="s">
        <v>36</v>
      </c>
      <c r="E35">
        <v>5</v>
      </c>
      <c r="F35">
        <v>2</v>
      </c>
      <c r="G35">
        <v>15</v>
      </c>
      <c r="H35" t="s">
        <v>68</v>
      </c>
      <c r="I35" t="s">
        <v>43</v>
      </c>
      <c r="J35" s="1" t="str">
        <f>VLOOKUP(I35,Lectures!C$1:E1033,3,FALSE)</f>
        <v xml:space="preserve">2019-09-03  </v>
      </c>
      <c r="K35" t="s">
        <v>99</v>
      </c>
      <c r="L35" t="s">
        <v>96</v>
      </c>
    </row>
    <row r="36" spans="2:12" x14ac:dyDescent="0.25">
      <c r="B36" t="s">
        <v>24</v>
      </c>
      <c r="C36">
        <v>9</v>
      </c>
      <c r="D36" s="2" t="s">
        <v>36</v>
      </c>
      <c r="E36">
        <v>5</v>
      </c>
      <c r="F36">
        <v>3</v>
      </c>
      <c r="G36">
        <v>30</v>
      </c>
      <c r="H36" t="s">
        <v>69</v>
      </c>
      <c r="I36" t="s">
        <v>48</v>
      </c>
      <c r="J36" s="1" t="str">
        <f>VLOOKUP(I36,Lectures!C$1:E1034,3,FALSE)</f>
        <v xml:space="preserve">2019-09-16  </v>
      </c>
      <c r="K36" t="s">
        <v>99</v>
      </c>
      <c r="L36" t="s">
        <v>96</v>
      </c>
    </row>
    <row r="37" spans="2:12" x14ac:dyDescent="0.25">
      <c r="B37" t="s">
        <v>24</v>
      </c>
      <c r="C37">
        <v>9</v>
      </c>
      <c r="D37" s="2" t="s">
        <v>36</v>
      </c>
      <c r="E37">
        <v>5</v>
      </c>
      <c r="F37">
        <v>4</v>
      </c>
      <c r="G37">
        <v>30</v>
      </c>
      <c r="H37" t="s">
        <v>84</v>
      </c>
      <c r="I37" t="s">
        <v>45</v>
      </c>
      <c r="J37" s="1" t="str">
        <f>VLOOKUP(I37,Lectures!C$1:E1035,3,FALSE)</f>
        <v xml:space="preserve">2019-09-09  </v>
      </c>
      <c r="K37" t="s">
        <v>99</v>
      </c>
      <c r="L37" t="s">
        <v>96</v>
      </c>
    </row>
    <row r="38" spans="2:12" x14ac:dyDescent="0.25">
      <c r="B38" t="s">
        <v>24</v>
      </c>
      <c r="C38">
        <v>9</v>
      </c>
      <c r="D38" s="2" t="s">
        <v>36</v>
      </c>
      <c r="E38">
        <v>5</v>
      </c>
      <c r="F38">
        <v>5</v>
      </c>
      <c r="G38">
        <v>15</v>
      </c>
      <c r="H38" t="s">
        <v>70</v>
      </c>
      <c r="I38" t="s">
        <v>47</v>
      </c>
      <c r="J38" s="1" t="str">
        <f>VLOOKUP(I38,Lectures!C$1:E1036,3,FALSE)</f>
        <v xml:space="preserve">2019-09-11  </v>
      </c>
      <c r="K38" t="s">
        <v>99</v>
      </c>
      <c r="L38" t="s">
        <v>96</v>
      </c>
    </row>
    <row r="39" spans="2:12" x14ac:dyDescent="0.25">
      <c r="B39" t="s">
        <v>24</v>
      </c>
      <c r="C39">
        <v>10</v>
      </c>
      <c r="D39" s="2" t="s">
        <v>37</v>
      </c>
      <c r="E39">
        <v>5</v>
      </c>
      <c r="F39">
        <v>1</v>
      </c>
      <c r="G39">
        <v>10</v>
      </c>
      <c r="H39" t="s">
        <v>55</v>
      </c>
      <c r="I39" t="s">
        <v>43</v>
      </c>
      <c r="J39" s="1" t="str">
        <f>VLOOKUP(I39,Lectures!C$1:E1037,3,FALSE)</f>
        <v xml:space="preserve">2019-09-03  </v>
      </c>
      <c r="K39" t="s">
        <v>92</v>
      </c>
      <c r="L39" t="s">
        <v>96</v>
      </c>
    </row>
    <row r="40" spans="2:12" x14ac:dyDescent="0.25">
      <c r="B40" t="s">
        <v>24</v>
      </c>
      <c r="C40">
        <v>10</v>
      </c>
      <c r="D40" s="2" t="s">
        <v>37</v>
      </c>
      <c r="E40">
        <v>5</v>
      </c>
      <c r="F40">
        <v>2</v>
      </c>
      <c r="G40">
        <v>15</v>
      </c>
      <c r="H40" t="s">
        <v>71</v>
      </c>
      <c r="I40" t="s">
        <v>47</v>
      </c>
      <c r="J40" s="1" t="str">
        <f>VLOOKUP(I40,Lectures!C$1:E1038,3,FALSE)</f>
        <v xml:space="preserve">2019-09-11  </v>
      </c>
      <c r="K40" t="s">
        <v>92</v>
      </c>
      <c r="L40" t="s">
        <v>96</v>
      </c>
    </row>
    <row r="41" spans="2:12" x14ac:dyDescent="0.25">
      <c r="B41" t="s">
        <v>24</v>
      </c>
      <c r="C41">
        <v>10</v>
      </c>
      <c r="D41" s="2" t="s">
        <v>37</v>
      </c>
      <c r="E41">
        <v>5</v>
      </c>
      <c r="F41">
        <v>3</v>
      </c>
      <c r="G41">
        <v>30</v>
      </c>
      <c r="H41" t="s">
        <v>52</v>
      </c>
      <c r="I41" t="s">
        <v>44</v>
      </c>
      <c r="J41" s="1" t="str">
        <f>VLOOKUP(I41,Lectures!C$1:E1039,3,FALSE)</f>
        <v xml:space="preserve">2019-09-04  </v>
      </c>
      <c r="K41" t="s">
        <v>92</v>
      </c>
      <c r="L41" t="s">
        <v>96</v>
      </c>
    </row>
    <row r="42" spans="2:12" x14ac:dyDescent="0.25">
      <c r="B42" t="s">
        <v>24</v>
      </c>
      <c r="C42">
        <v>10</v>
      </c>
      <c r="D42" s="2" t="s">
        <v>37</v>
      </c>
      <c r="E42">
        <v>5</v>
      </c>
      <c r="F42">
        <v>4</v>
      </c>
      <c r="G42">
        <v>20</v>
      </c>
      <c r="H42" t="s">
        <v>72</v>
      </c>
      <c r="I42" t="s">
        <v>45</v>
      </c>
      <c r="J42" s="1" t="str">
        <f>VLOOKUP(I42,Lectures!C$1:E1040,3,FALSE)</f>
        <v xml:space="preserve">2019-09-09  </v>
      </c>
      <c r="K42" t="s">
        <v>92</v>
      </c>
      <c r="L42" t="s">
        <v>96</v>
      </c>
    </row>
    <row r="43" spans="2:12" x14ac:dyDescent="0.25">
      <c r="B43" t="s">
        <v>24</v>
      </c>
      <c r="C43">
        <v>10</v>
      </c>
      <c r="D43" s="2" t="s">
        <v>37</v>
      </c>
      <c r="E43">
        <v>5</v>
      </c>
      <c r="F43">
        <v>5</v>
      </c>
      <c r="G43">
        <v>25</v>
      </c>
      <c r="H43" t="s">
        <v>85</v>
      </c>
      <c r="I43" t="s">
        <v>46</v>
      </c>
      <c r="J43" s="1" t="str">
        <f>VLOOKUP(I43,Lectures!C$1:E1041,3,FALSE)</f>
        <v xml:space="preserve">2019-09-11  </v>
      </c>
      <c r="K43" t="s">
        <v>92</v>
      </c>
      <c r="L43" t="s">
        <v>96</v>
      </c>
    </row>
    <row r="44" spans="2:12" x14ac:dyDescent="0.25">
      <c r="B44" t="s">
        <v>24</v>
      </c>
      <c r="C44">
        <v>11</v>
      </c>
      <c r="D44" s="2" t="s">
        <v>76</v>
      </c>
      <c r="E44">
        <v>3</v>
      </c>
      <c r="F44">
        <v>1</v>
      </c>
      <c r="G44">
        <v>33</v>
      </c>
      <c r="H44" t="s">
        <v>73</v>
      </c>
      <c r="I44" t="s">
        <v>47</v>
      </c>
      <c r="J44" s="1" t="str">
        <f>VLOOKUP(I44,Lectures!C$1:E1042,3,FALSE)</f>
        <v xml:space="preserve">2019-09-11  </v>
      </c>
      <c r="L44" t="s">
        <v>97</v>
      </c>
    </row>
    <row r="45" spans="2:12" x14ac:dyDescent="0.25">
      <c r="B45" t="s">
        <v>24</v>
      </c>
      <c r="C45">
        <v>11</v>
      </c>
      <c r="D45" s="2" t="s">
        <v>76</v>
      </c>
      <c r="E45">
        <v>3</v>
      </c>
      <c r="F45">
        <v>2</v>
      </c>
      <c r="G45">
        <v>33</v>
      </c>
      <c r="H45" t="s">
        <v>74</v>
      </c>
      <c r="I45" t="s">
        <v>44</v>
      </c>
      <c r="J45" s="1" t="str">
        <f>VLOOKUP(I45,Lectures!C$1:E1043,3,FALSE)</f>
        <v xml:space="preserve">2019-09-04  </v>
      </c>
      <c r="L45" t="s">
        <v>97</v>
      </c>
    </row>
    <row r="46" spans="2:12" x14ac:dyDescent="0.25">
      <c r="B46" t="s">
        <v>24</v>
      </c>
      <c r="C46">
        <v>11</v>
      </c>
      <c r="D46" s="2" t="s">
        <v>76</v>
      </c>
      <c r="E46">
        <v>3</v>
      </c>
      <c r="F46">
        <v>3</v>
      </c>
      <c r="G46">
        <v>33</v>
      </c>
      <c r="H46" t="s">
        <v>75</v>
      </c>
      <c r="I46" t="s">
        <v>48</v>
      </c>
      <c r="J46" s="1" t="str">
        <f>VLOOKUP(I46,Lectures!C$1:E1044,3,FALSE)</f>
        <v xml:space="preserve">2019-09-16  </v>
      </c>
      <c r="L46" t="s">
        <v>97</v>
      </c>
    </row>
    <row r="47" spans="2:12" x14ac:dyDescent="0.25">
      <c r="J47" s="1" t="e">
        <f>VLOOKUP(I47,Lectures!C$1:E1045,3,FALSE)</f>
        <v>#N/A</v>
      </c>
    </row>
    <row r="48" spans="2:12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3" sqref="A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77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2019-10-21T18:34:04Z</dcterms:modified>
</cp:coreProperties>
</file>