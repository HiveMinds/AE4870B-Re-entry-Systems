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B Re-entry Systems\git\public\AE4870B-Re-entry-Systems\CoursePlanningTemplate\"/>
    </mc:Choice>
  </mc:AlternateContent>
  <xr:revisionPtr revIDLastSave="0" documentId="13_ncr:1_{A1FF77AD-0C9C-4611-AE6E-1BE14B3BCF15}" xr6:coauthVersionLast="45" xr6:coauthVersionMax="45" xr10:uidLastSave="{00000000-0000-0000-0000-000000000000}"/>
  <bookViews>
    <workbookView xWindow="5190" yWindow="4035" windowWidth="17265" windowHeight="981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1" i="3" l="1"/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<sst xmlns="http://schemas.openxmlformats.org/spreadsheetml/2006/main" count="356" uniqueCount="111">
  <si>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</si>
  <si>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</si>
  <si>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</si>
  <si>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</si>
  <si>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</si>
  <si>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</si>
  <si>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</si>
  <si>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</si>
  <si>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</si>
  <si>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</si>
  <si>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</si>
  <si>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</si>
  <si>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</si>
  <si>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</si>
  <si>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</si>
  <si>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</si>
  <si>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</si>
  <si>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</si>
  <si>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</si>
  <si>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</si>
  <si>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</si>
  <si>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</si>
  <si>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</si>
  <si>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</si>
  <si>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</si>
  <si>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</si>
  <si>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</si>
  <si>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</si>
  <si>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</si>
  <si>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</si>
  <si>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</si>
  <si>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</si>
  <si>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</si>
  <si>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</si>
  <si>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</si>
  <si>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</si>
  <si>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</si>
  <si>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</si>
  <si>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</si>
  <si>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</si>
  <si>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</si>
  <si>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</si>
  <si>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</si>
  <si>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</si>
  <si>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</si>
  <si>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</si>
  <si>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</si>
  <si>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</si>
  <si>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</si>
  <si>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</si>
  <si>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</si>
  <si>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</si>
  <si>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</si>
  <si>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</si>
  <si>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</si>
  <si>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</si>
  <si>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</si>
  <si>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</si>
  <si>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</si>
  <si>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</si>
  <si>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</si>
  <si>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</si>
  <si>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</si>
  <si>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</si>
  <si>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</si>
  <si>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</si>
  <si>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</si>
  <si>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</si>
  <si>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</si>
  <si>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</si>
  <si>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</si>
  <si>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</si>
  <si>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</si>
  <si>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</si>
  <si>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</si>
  <si>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</si>
  <si>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</si>
  <si>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</si>
  <si>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</si>
  <si>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</si>
  <si>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</si>
  <si>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</si>
  <si>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</si>
  <si>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</si>
  <si>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</si>
  <si>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</si>
  <si>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</si>
  <si>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</si>
  <si>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</si>
  <si>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</si>
  <si>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</si>
  <si>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</si>
  <si>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</si>
  <si>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</si>
  <si>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</si>
  <si>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</si>
  <si>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</si>
  <si>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</si>
  <si>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</si>
  <si>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</si>
  <si>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</si>
  <si>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</si>
  <si>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</si>
  <si>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J</t>
  </si>
  <si>
    <t>K</t>
  </si>
  <si>
    <t>2013-04-18</t>
  </si>
  <si>
    <t>Skipping rewentry</t>
  </si>
  <si>
    <t>Gliding reetnry</t>
  </si>
  <si>
    <t>truefals</t>
  </si>
  <si>
    <t>I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</si>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</sst>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742950</xdr:colOff>
          <xdr:row>15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28</v>
      </c>
      <c r="B1" t="s">
        <v>30</v>
      </c>
      <c r="C1" t="s">
        <v>29</v>
      </c>
    </row>
    <row r="2" spans="1:3" x14ac:dyDescent="0.25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742950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5" x14ac:dyDescent="0.25"/>
  <cols>
    <col min="1" max="1" width="6.7109375" bestFit="1" customWidth="1"/>
    <col min="2" max="2" width="6.28515625" bestFit="1" customWidth="1"/>
    <col min="3" max="3" width="26.5703125" bestFit="1" customWidth="1"/>
    <col min="4" max="4" width="15.28515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25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25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25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25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25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28515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21" workbookViewId="0">
      <selection activeCell="A51" sqref="A51"/>
    </sheetView>
  </sheetViews>
  <sheetFormatPr defaultRowHeight="15" x14ac:dyDescent="0.25"/>
  <cols>
    <col min="1" max="1" width="13.28515625" bestFit="1" customWidth="1"/>
    <col min="2" max="2" width="11.7109375" bestFit="1" customWidth="1"/>
    <col min="3" max="3" width="4" bestFit="1" customWidth="1"/>
    <col min="4" max="4" width="12.28515625" style="2" bestFit="1" customWidth="1"/>
    <col min="5" max="5" width="14.28515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ID:K</v>
      </c>
      <c r="N1" t="s">
        <v>100</v>
      </c>
      <c r="O1" t="s">
        <v>101</v>
      </c>
    </row>
    <row r="2" spans="1:15" x14ac:dyDescent="0.25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25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25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25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25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25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25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25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25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25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25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25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25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L14" t="s">
        <v>97</v>
      </c>
    </row>
    <row r="15" spans="1:15" x14ac:dyDescent="0.25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L15" t="s">
        <v>95</v>
      </c>
    </row>
    <row r="16" spans="1:15" x14ac:dyDescent="0.25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L16" t="s">
        <v>95</v>
      </c>
    </row>
    <row r="17" spans="2:12" x14ac:dyDescent="0.25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L17" t="s">
        <v>95</v>
      </c>
    </row>
    <row r="18" spans="2:12" x14ac:dyDescent="0.25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K18" t="s">
        <v>104</v>
      </c>
      <c r="L18" t="s">
        <v>95</v>
      </c>
    </row>
    <row r="19" spans="2:12" x14ac:dyDescent="0.25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K19" t="s">
        <v>104</v>
      </c>
      <c r="L19" t="s">
        <v>95</v>
      </c>
    </row>
    <row r="20" spans="2:12" x14ac:dyDescent="0.25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K20" t="s">
        <v>104</v>
      </c>
      <c r="L20" t="s">
        <v>95</v>
      </c>
    </row>
    <row r="21" spans="2:12" x14ac:dyDescent="0.25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K21" t="s">
        <v>104</v>
      </c>
      <c r="L21" t="s">
        <v>95</v>
      </c>
    </row>
    <row r="22" spans="2:12" x14ac:dyDescent="0.25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 x14ac:dyDescent="0.25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 x14ac:dyDescent="0.25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 x14ac:dyDescent="0.25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 x14ac:dyDescent="0.25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25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25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25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25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25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25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25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25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25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25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25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25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25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25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25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25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25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25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25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25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25">
      <c r="B47" t="s">
        <v>24</v>
      </c>
      <c r="C47">
        <v>12</v>
      </c>
      <c r="D47" s="2" t="s">
        <v>105</v>
      </c>
      <c r="E47">
        <v>4</v>
      </c>
      <c r="F47">
        <v>1</v>
      </c>
      <c r="G47">
        <v>15</v>
      </c>
      <c r="H47" t="s">
        <v>108</v>
      </c>
      <c r="I47" t="s">
        <v>43</v>
      </c>
      <c r="J47" s="1" t="str">
        <f>VLOOKUP(I47,Lectures!C$1:E1045,3,FALSE)</f>
        <v xml:space="preserve">2019-09-03  </v>
      </c>
      <c r="K47" t="s">
        <v>109</v>
      </c>
      <c r="L47" t="s">
        <v>110</v>
      </c>
    </row>
    <row r="48" spans="2:12" x14ac:dyDescent="0.25">
      <c r="B48" t="s">
        <v>24</v>
      </c>
      <c r="C48">
        <v>12</v>
      </c>
      <c r="D48" s="2" t="s">
        <v>105</v>
      </c>
      <c r="E48">
        <v>4</v>
      </c>
      <c r="F48">
        <v>2</v>
      </c>
      <c r="G48">
        <v>30</v>
      </c>
      <c r="H48" t="s">
        <v>107</v>
      </c>
      <c r="I48" t="s">
        <v>48</v>
      </c>
      <c r="J48" s="1" t="str">
        <f>VLOOKUP(I48,Lectures!C$1:E1046,3,FALSE)</f>
        <v xml:space="preserve">2019-09-16  </v>
      </c>
      <c r="K48" t="s">
        <v>109</v>
      </c>
      <c r="L48" t="s">
        <v>110</v>
      </c>
    </row>
    <row r="49" spans="2:12" x14ac:dyDescent="0.25">
      <c r="B49" t="s">
        <v>24</v>
      </c>
      <c r="C49">
        <v>12</v>
      </c>
      <c r="D49" s="2" t="s">
        <v>105</v>
      </c>
      <c r="E49">
        <v>4</v>
      </c>
      <c r="F49">
        <v>3</v>
      </c>
      <c r="G49">
        <v>21</v>
      </c>
      <c r="H49" t="s">
        <v>64</v>
      </c>
      <c r="I49" t="s">
        <v>45</v>
      </c>
      <c r="J49" s="1" t="str">
        <f>VLOOKUP(I49,Lectures!C$1:E1047,3,FALSE)</f>
        <v xml:space="preserve">2019-09-09  </v>
      </c>
      <c r="K49" t="s">
        <v>109</v>
      </c>
      <c r="L49" t="s">
        <v>110</v>
      </c>
    </row>
    <row r="50" spans="2:12" x14ac:dyDescent="0.25">
      <c r="B50" t="s">
        <v>24</v>
      </c>
      <c r="C50">
        <v>12</v>
      </c>
      <c r="D50" s="2" t="s">
        <v>105</v>
      </c>
      <c r="E50">
        <v>4</v>
      </c>
      <c r="F50">
        <v>4</v>
      </c>
      <c r="G50">
        <v>34</v>
      </c>
      <c r="H50" t="s">
        <v>106</v>
      </c>
      <c r="I50" t="s">
        <v>47</v>
      </c>
      <c r="J50" s="1" t="str">
        <f>VLOOKUP(I50,Lectures!C$1:E1048,3,FALSE)</f>
        <v xml:space="preserve">2019-09-11  </v>
      </c>
      <c r="K50" t="s">
        <v>109</v>
      </c>
      <c r="L50" t="s">
        <v>110</v>
      </c>
    </row>
    <row r="51" spans="2:12" x14ac:dyDescent="0.25">
      <c r="J51" s="1" t="e">
        <f>VLOOKUP(I51,Lectures!C$1:E1049,3,FALSE)</f>
        <v>#N/A</v>
      </c>
    </row>
    <row r="52" spans="2:12" x14ac:dyDescent="0.25">
      <c r="J52" s="1" t="e">
        <f>VLOOKUP(I52,Lectures!C$1:E1050,3,FALSE)</f>
        <v>#N/A</v>
      </c>
    </row>
    <row r="53" spans="2:12" x14ac:dyDescent="0.25">
      <c r="J53" s="1" t="e">
        <f>VLOOKUP(I53,Lectures!C$1:E1051,3,FALSE)</f>
        <v>#N/A</v>
      </c>
    </row>
    <row r="54" spans="2:12" x14ac:dyDescent="0.25">
      <c r="J54" s="1" t="e">
        <f>VLOOKUP(I54,Lectures!C$1:E1052,3,FALSE)</f>
        <v>#N/A</v>
      </c>
    </row>
    <row r="55" spans="2:12" x14ac:dyDescent="0.25">
      <c r="J55" s="1" t="e">
        <f>VLOOKUP(I55,Lectures!C$1:E1053,3,FALSE)</f>
        <v>#N/A</v>
      </c>
    </row>
    <row r="56" spans="2:12" x14ac:dyDescent="0.25">
      <c r="J56" s="1" t="e">
        <f>VLOOKUP(I56,Lectures!C$1:E1054,3,FALSE)</f>
        <v>#N/A</v>
      </c>
    </row>
    <row r="57" spans="2:12" x14ac:dyDescent="0.25">
      <c r="J57" s="1" t="e">
        <f>VLOOKUP(I57,Lectures!C$1:E1055,3,FALSE)</f>
        <v>#N/A</v>
      </c>
    </row>
    <row r="58" spans="2:12" x14ac:dyDescent="0.25">
      <c r="J58" s="1" t="e">
        <f>VLOOKUP(I58,Lectures!C$1:E1056,3,FALSE)</f>
        <v>#N/A</v>
      </c>
    </row>
    <row r="59" spans="2:12" x14ac:dyDescent="0.25">
      <c r="J59" s="1" t="e">
        <f>VLOOKUP(I59,Lectures!C$1:E1057,3,FALSE)</f>
        <v>#N/A</v>
      </c>
    </row>
    <row r="60" spans="2:12" x14ac:dyDescent="0.25">
      <c r="J60" s="1" t="e">
        <f>VLOOKUP(I60,Lectures!C$1:E1058,3,FALSE)</f>
        <v>#N/A</v>
      </c>
    </row>
    <row r="61" spans="2:12" x14ac:dyDescent="0.25">
      <c r="J61" s="1" t="e">
        <f>VLOOKUP(I61,Lectures!C$1:E1059,3,FALSE)</f>
        <v>#N/A</v>
      </c>
    </row>
    <row r="62" spans="2:12" x14ac:dyDescent="0.25">
      <c r="J62" s="1" t="e">
        <f>VLOOKUP(I62,Lectures!C$1:E1060,3,FALSE)</f>
        <v>#N/A</v>
      </c>
    </row>
    <row r="63" spans="2:12" x14ac:dyDescent="0.25">
      <c r="J63" s="1" t="e">
        <f>VLOOKUP(I63,Lectures!C$1:E1061,3,FALSE)</f>
        <v>#N/A</v>
      </c>
    </row>
    <row r="64" spans="2:12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5" x14ac:dyDescent="0.25"/>
  <cols>
    <col min="1" max="1" width="12.28515625" customWidth="1"/>
    <col min="2" max="2" width="10.42578125" style="2" bestFit="1" customWidth="1"/>
    <col min="3" max="3" width="8.5703125" bestFit="1" customWidth="1"/>
    <col min="4" max="4" width="7.28515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2019-10-25T09:50:35Z</dcterms:modified>
</cp:coreProperties>
</file>